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stebanconde/nfi_dashboard/"/>
    </mc:Choice>
  </mc:AlternateContent>
  <xr:revisionPtr revIDLastSave="0" documentId="13_ncr:1_{31D523C4-A12E-EB4D-BEE4-AAABE0838B8D}" xr6:coauthVersionLast="47" xr6:coauthVersionMax="47" xr10:uidLastSave="{00000000-0000-0000-0000-000000000000}"/>
  <bookViews>
    <workbookView xWindow="0" yWindow="660" windowWidth="34560" windowHeight="20260" activeTab="1" xr2:uid="{486934F3-F565-AC4C-874F-3481FE399016}"/>
  </bookViews>
  <sheets>
    <sheet name="Executive summary" sheetId="10" r:id="rId1"/>
    <sheet name="CFS CES" sheetId="1" r:id="rId2"/>
    <sheet name="Virtual Warehouse" sheetId="3" r:id="rId3"/>
    <sheet name="Outbond loading" sheetId="7" r:id="rId4"/>
    <sheet name="KPI Dashboar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9" l="1"/>
  <c r="B13" i="9"/>
  <c r="B7" i="9"/>
  <c r="B6" i="9"/>
  <c r="B20" i="3"/>
  <c r="B19" i="3"/>
  <c r="B8" i="10"/>
  <c r="B7" i="10"/>
  <c r="B18" i="7"/>
  <c r="B22" i="10" s="1"/>
  <c r="B19" i="1"/>
  <c r="B20" i="1" s="1"/>
  <c r="B7" i="1"/>
  <c r="B8" i="1" s="1"/>
  <c r="B10" i="1" s="1"/>
  <c r="B11" i="1" s="1"/>
  <c r="E2" i="3"/>
  <c r="G2" i="3" s="1"/>
  <c r="B2" i="9" s="1"/>
  <c r="D2" i="3"/>
  <c r="B13" i="1"/>
  <c r="C13" i="1" s="1"/>
  <c r="B29" i="1" s="1"/>
  <c r="B28" i="1"/>
  <c r="F3" i="1"/>
  <c r="F2" i="1"/>
  <c r="B14" i="1"/>
  <c r="B15" i="1" s="1"/>
  <c r="B25" i="9" l="1"/>
  <c r="B4" i="10"/>
  <c r="B21" i="3"/>
  <c r="B14" i="10"/>
  <c r="B18" i="9"/>
  <c r="B18" i="10" s="1"/>
  <c r="B17" i="9"/>
  <c r="B10" i="3"/>
  <c r="B11" i="3" s="1"/>
  <c r="B4" i="9" s="1"/>
  <c r="B5" i="10" s="1"/>
  <c r="B8" i="9"/>
  <c r="B9" i="10" s="1"/>
  <c r="B23" i="1"/>
  <c r="B30" i="1"/>
  <c r="B16" i="1" s="1"/>
  <c r="B9" i="1"/>
  <c r="B9" i="3" l="1"/>
  <c r="B5" i="9" s="1"/>
  <c r="C5" i="9" s="1"/>
  <c r="B14" i="3"/>
  <c r="B17" i="3"/>
  <c r="B22" i="3" s="1"/>
  <c r="B3" i="9"/>
  <c r="B16" i="10"/>
  <c r="B15" i="9"/>
  <c r="B6" i="10" l="1"/>
  <c r="B21" i="1"/>
  <c r="B37" i="3"/>
  <c r="B12" i="3" s="1"/>
  <c r="B4" i="7"/>
  <c r="B21" i="9" s="1"/>
  <c r="B14" i="9"/>
  <c r="B15" i="10"/>
  <c r="C13" i="7"/>
  <c r="E13" i="7" s="1"/>
  <c r="F13" i="7" s="1"/>
  <c r="C12" i="7"/>
  <c r="E12" i="7" s="1"/>
  <c r="F12" i="7" s="1"/>
  <c r="B23" i="9" s="1"/>
  <c r="B22" i="1"/>
  <c r="B24" i="1" l="1"/>
  <c r="B17" i="10" s="1"/>
  <c r="B23" i="3"/>
  <c r="B9" i="9" s="1"/>
  <c r="H13" i="7"/>
  <c r="C24" i="9" s="1"/>
  <c r="B24" i="9"/>
  <c r="H12" i="7"/>
  <c r="C23" i="9" s="1"/>
  <c r="B16" i="7"/>
  <c r="B16" i="9" l="1"/>
  <c r="C9" i="9"/>
  <c r="B10" i="10"/>
  <c r="B19" i="7"/>
  <c r="B21" i="10"/>
  <c r="B22" i="9"/>
  <c r="B28" i="9"/>
  <c r="B11" i="10" s="1"/>
  <c r="B26" i="9" l="1"/>
  <c r="B2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conde</author>
  </authors>
  <commentList>
    <comment ref="D11" authorId="0" shapeId="0" xr:uid="{B39A34D7-07BC-6841-99EC-976C973849F2}">
      <text>
        <r>
          <rPr>
            <b/>
            <sz val="10"/>
            <color rgb="FF000000"/>
            <rFont val="Tahoma"/>
            <family val="2"/>
          </rPr>
          <t>esteban conde: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1.5 accounts for staging/share ops</t>
        </r>
      </text>
    </comment>
  </commentList>
</comments>
</file>

<file path=xl/sharedStrings.xml><?xml version="1.0" encoding="utf-8"?>
<sst xmlns="http://schemas.openxmlformats.org/spreadsheetml/2006/main" count="179" uniqueCount="152">
  <si>
    <t xml:space="preserve"> </t>
  </si>
  <si>
    <t>Fatigue/Break factor</t>
  </si>
  <si>
    <t>Rate per Second</t>
  </si>
  <si>
    <t>Total Weight KG</t>
  </si>
  <si>
    <t>Time in hours</t>
  </si>
  <si>
    <t>Time per employee</t>
  </si>
  <si>
    <t>hours</t>
  </si>
  <si>
    <t>Personal, Fatigue, &amp; Delay</t>
  </si>
  <si>
    <t>Job Completion</t>
  </si>
  <si>
    <t>KG</t>
  </si>
  <si>
    <t>Time in seconds</t>
  </si>
  <si>
    <t xml:space="preserve">Time in minutes </t>
  </si>
  <si>
    <t>Max Kg sustainable Safe Capacity</t>
  </si>
  <si>
    <t>Air Import Production</t>
  </si>
  <si>
    <t xml:space="preserve">Warehouse rate &amp; cost </t>
  </si>
  <si>
    <t>Storage 0.12kg</t>
  </si>
  <si>
    <t>Handling fee 0.08</t>
  </si>
  <si>
    <t>Labor Cost per KG</t>
  </si>
  <si>
    <t>Total Hours</t>
  </si>
  <si>
    <t>Total Labor Cost</t>
  </si>
  <si>
    <t>Average Hourly Rate</t>
  </si>
  <si>
    <t xml:space="preserve">Burden 20% </t>
  </si>
  <si>
    <t>Warehouse Width</t>
  </si>
  <si>
    <t>Usable %</t>
  </si>
  <si>
    <t>Usable sq ft</t>
  </si>
  <si>
    <t>Pallet foot print</t>
  </si>
  <si>
    <t xml:space="preserve">Double stack </t>
  </si>
  <si>
    <t>Effective pallet position</t>
  </si>
  <si>
    <t>Realistic Avg. Occupancy</t>
  </si>
  <si>
    <t>Avg Pallet stored</t>
  </si>
  <si>
    <t>pallets per forklift  per hour</t>
  </si>
  <si>
    <t>effective pallets/hour (after penalty)</t>
  </si>
  <si>
    <t xml:space="preserve"> KPI Summary</t>
  </si>
  <si>
    <t xml:space="preserve"> forklift productivity </t>
  </si>
  <si>
    <t>Daily Shift simulator (8-hr shift)</t>
  </si>
  <si>
    <t>inbound pallets/day</t>
  </si>
  <si>
    <t xml:space="preserve">outbound pallets </t>
  </si>
  <si>
    <t>Total pallets moved/day</t>
  </si>
  <si>
    <t>Required Forklift hours/day</t>
  </si>
  <si>
    <t xml:space="preserve">forklifts Needed </t>
  </si>
  <si>
    <t>Occupancy penalty lookup</t>
  </si>
  <si>
    <t>Occupancy%</t>
  </si>
  <si>
    <t>Warehouse Length</t>
  </si>
  <si>
    <t xml:space="preserve">Est daily throughput potential </t>
  </si>
  <si>
    <t xml:space="preserve">Efficiency multiplier </t>
  </si>
  <si>
    <t>Avaliable position</t>
  </si>
  <si>
    <t>Available Production Hours</t>
  </si>
  <si>
    <t xml:space="preserve">Number of employees </t>
  </si>
  <si>
    <t xml:space="preserve">Minutes </t>
  </si>
  <si>
    <t>Effective pallets per hour</t>
  </si>
  <si>
    <t>Forklift needed</t>
  </si>
  <si>
    <t>Pallet weight (KG)</t>
  </si>
  <si>
    <t>Number of Pallets</t>
  </si>
  <si>
    <t xml:space="preserve">Total pallets move </t>
  </si>
  <si>
    <t>Forklift speed (pallet per hour)</t>
  </si>
  <si>
    <t>Forklift Hours needed</t>
  </si>
  <si>
    <t>Job time  (hours)</t>
  </si>
  <si>
    <t>FORKLIFTS NEEDED FOR THIS BATCH</t>
  </si>
  <si>
    <t xml:space="preserve">Outbond Truck Loading Simulator </t>
  </si>
  <si>
    <t xml:space="preserve">Inputs &amp; Assumptions </t>
  </si>
  <si>
    <t>Dedicated Forklift per truck</t>
  </si>
  <si>
    <t xml:space="preserve">Shift Hours </t>
  </si>
  <si>
    <t>Dock Doors Available</t>
  </si>
  <si>
    <t xml:space="preserve">Truck Scenarios </t>
  </si>
  <si>
    <t xml:space="preserve">Truck Type </t>
  </si>
  <si>
    <t>Pallet Per Truck</t>
  </si>
  <si>
    <t>Eff.Pallets/hr</t>
  </si>
  <si>
    <t>Base load Min</t>
  </si>
  <si>
    <t>Target SLA Min</t>
  </si>
  <si>
    <t>Status/Flag</t>
  </si>
  <si>
    <t>Bobtail/Straight Truck</t>
  </si>
  <si>
    <t>53' Dry Van Trailer</t>
  </si>
  <si>
    <t>Total Est Min</t>
  </si>
  <si>
    <t>Ded. Forklift per truck</t>
  </si>
  <si>
    <t>Bonus Daily KPI</t>
  </si>
  <si>
    <t>Avg Truck Load time</t>
  </si>
  <si>
    <t>Est Trucks per Door per Shift</t>
  </si>
  <si>
    <t xml:space="preserve">Total daily outbound trucks </t>
  </si>
  <si>
    <t>CFS/CES Buffer (seals,checks,delays)</t>
  </si>
  <si>
    <t>Outbond Pallets/day potential</t>
  </si>
  <si>
    <t>Effiency multiplier</t>
  </si>
  <si>
    <t>CFS/CES Holds (Days)</t>
  </si>
  <si>
    <t>CFS/CES Exam/Hold Factor</t>
  </si>
  <si>
    <t>True effective pallets/hr</t>
  </si>
  <si>
    <t>Total effective pallet positions</t>
  </si>
  <si>
    <t>Avg pallets currently stored</t>
  </si>
  <si>
    <t>Available positions</t>
  </si>
  <si>
    <t>Realistic avg occupancy %</t>
  </si>
  <si>
    <t>Daily inbound pallets</t>
  </si>
  <si>
    <t>Daily outbound pallets</t>
  </si>
  <si>
    <t>Total daily pallet moves required</t>
  </si>
  <si>
    <t>Forklifts needed for daily ops (8-hr shift)</t>
  </si>
  <si>
    <t>Daily Capacity</t>
  </si>
  <si>
    <t>CFS/CES Batch Performance</t>
  </si>
  <si>
    <t>Batch weight (kg)</t>
  </si>
  <si>
    <t>Safe max sustainable kg per day</t>
  </si>
  <si>
    <t>Labor cost per kg</t>
  </si>
  <si>
    <t>Total labor cost per batch</t>
  </si>
  <si>
    <t>Forklifts needed per batch</t>
  </si>
  <si>
    <t>Job completion time (hours)</t>
  </si>
  <si>
    <t>Handling + Storage revenue per batch</t>
  </si>
  <si>
    <t>Outbound Truck Loading Efficiency</t>
  </si>
  <si>
    <t>Outbound Loading KPIs</t>
  </si>
  <si>
    <t>Effective pallets per hour (base)</t>
  </si>
  <si>
    <t>Avg truck load time (min)</t>
  </si>
  <si>
    <t>Bobtail load time (min) + status</t>
  </si>
  <si>
    <t>53' Dry Van load time (min) + status</t>
  </si>
  <si>
    <t>Total daily outbound trucks potential</t>
  </si>
  <si>
    <t>Outbound pallets/day potential</t>
  </si>
  <si>
    <t>Quick Inputs</t>
  </si>
  <si>
    <t>Current forklifts available</t>
  </si>
  <si>
    <t>Target daily inbound pallets</t>
  </si>
  <si>
    <t>Target daily outbound pallets</t>
  </si>
  <si>
    <t>Target occupancy %</t>
  </si>
  <si>
    <t>Overall Daily Ops Status</t>
  </si>
  <si>
    <t>NFI Air Freight Warehouse Model – Executive Summary</t>
  </si>
  <si>
    <t>Current Baseline Operations (Pre-Launch Model)</t>
  </si>
  <si>
    <t>Effective Pallet Positions (double-stacked, 65% usable)</t>
  </si>
  <si>
    <t>Available Pallet Positions</t>
  </si>
  <si>
    <t>Realistic Avg Occupancy</t>
  </si>
  <si>
    <t>(GREEN - Significant headroom for growth)</t>
  </si>
  <si>
    <t>Target Daily Inbound Pallets</t>
  </si>
  <si>
    <t>Target Daily Outbound Pallets</t>
  </si>
  <si>
    <t>Total Daily Pallet Moves Required</t>
  </si>
  <si>
    <t>Forklifts Needed (8-hr shift)</t>
  </si>
  <si>
    <t>Current available: 6 → Covered</t>
  </si>
  <si>
    <t>Overall Ops Status</t>
  </si>
  <si>
    <t>CFS/CES Air Import Batch</t>
  </si>
  <si>
    <t>Safe Max Sustainable Capacity per Day</t>
  </si>
  <si>
    <t>Labor Cost per kg</t>
  </si>
  <si>
    <t>Forklifts Needed per Batch</t>
  </si>
  <si>
    <t>Handling + Storage Revenue per Batch</t>
  </si>
  <si>
    <t>Outbound Truck Loading Potential (20 dock doors)</t>
  </si>
  <si>
    <t>Total Labor Cost per Batch</t>
  </si>
  <si>
    <t>Avg Truck Load Time</t>
  </si>
  <si>
    <t>Min</t>
  </si>
  <si>
    <t>Daily Outbound Trucks Potential</t>
  </si>
  <si>
    <t>Daily Outbound Pallets Potential</t>
  </si>
  <si>
    <t>Growth &amp; Recommendation</t>
  </si>
  <si>
    <t>Current setup has massive white space: ~89% positions available</t>
  </si>
  <si>
    <t>Can scale inbound/outbound 3–4x before occupancy/forklift yellow flags</t>
  </si>
  <si>
    <t>Primary bottleneck at higher volumes: Forklifts (add units as needed)</t>
  </si>
  <si>
    <t>Use KPI Dashboard tab for real-time what-if scenarios</t>
  </si>
  <si>
    <t>Model ready for NFI volume forecasts</t>
  </si>
  <si>
    <t>323-707-0887</t>
  </si>
  <si>
    <t>Esteban Conde Medrano - Air Freight Expert</t>
  </si>
  <si>
    <t>estebanconde09@outlook.com</t>
  </si>
  <si>
    <t>Creator:</t>
  </si>
  <si>
    <t>Full speed</t>
  </si>
  <si>
    <t>Tiny slowdown</t>
  </si>
  <si>
    <t>Noticeable slowdown</t>
  </si>
  <si>
    <t>Everything crawls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</si>
</sst>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.00000_);[Red]\(&quot;$&quot;#,##0.00000\)"/>
    <numFmt numFmtId="167" formatCode="#,##0_);[Red]\(#,##0\);\-_)"/>
    <numFmt numFmtId="168" formatCode="#,##0.0_);[Red]\(#,##0.0\);\-_)"/>
    <numFmt numFmtId="169" formatCode="&quot;$&quot;#,##0.00_);[Red]\(&quot;$&quot;#,##0.00\);\-_)"/>
    <numFmt numFmtId="170" formatCode="0.0000"/>
    <numFmt numFmtId="171" formatCode="0.0"/>
    <numFmt numFmtId="172" formatCode="0.0%"/>
    <numFmt numFmtId="173" formatCode="_(* #,##0.0_);_(* \(#,##0.0\);_(* &quot;-&quot;??_);_(@_)"/>
    <numFmt numFmtId="174" formatCode="_(* #,##0.000_);_(* \(#,##0.000\);_(* &quot;-&quot;??_);_(@_)"/>
    <numFmt numFmtId="175" formatCode="_(* #,##0_);_(* \(#,##0\);_(* &quot;-&quot;??_);_(@_)"/>
    <numFmt numFmtId="176" formatCode="&quot;$&quot;#,##0"/>
    <numFmt numFmtId="177" formatCode="&quot;$&quot;#,##0.0000"/>
    <numFmt numFmtId="178" formatCode="&quot;$&quot;#,##0.000_);[Red]\(&quot;$&quot;#,##0.000\)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1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2" fillId="0" borderId="0" xfId="0" applyNumberFormat="1" applyFont="1"/>
    <xf numFmtId="168" fontId="2" fillId="0" borderId="0" xfId="0" applyNumberFormat="1" applyFont="1"/>
    <xf numFmtId="169" fontId="0" fillId="0" borderId="0" xfId="0" applyNumberFormat="1"/>
    <xf numFmtId="8" fontId="0" fillId="0" borderId="0" xfId="0" applyNumberFormat="1"/>
    <xf numFmtId="167" fontId="2" fillId="2" borderId="0" xfId="0" applyNumberFormat="1" applyFont="1" applyFill="1"/>
    <xf numFmtId="0" fontId="3" fillId="0" borderId="0" xfId="0" applyFont="1" applyAlignment="1">
      <alignment horizontal="center"/>
    </xf>
    <xf numFmtId="3" fontId="0" fillId="0" borderId="0" xfId="0" applyNumberFormat="1"/>
    <xf numFmtId="0" fontId="3" fillId="0" borderId="0" xfId="0" applyFont="1"/>
    <xf numFmtId="3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70" fontId="3" fillId="0" borderId="0" xfId="0" applyNumberFormat="1" applyFont="1" applyAlignment="1">
      <alignment horizontal="center"/>
    </xf>
    <xf numFmtId="2" fontId="0" fillId="0" borderId="0" xfId="0" applyNumberFormat="1"/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" fontId="0" fillId="0" borderId="0" xfId="0" applyNumberFormat="1"/>
    <xf numFmtId="171" fontId="3" fillId="0" borderId="0" xfId="0" applyNumberFormat="1" applyFont="1" applyAlignment="1">
      <alignment horizontal="center"/>
    </xf>
    <xf numFmtId="167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" xfId="0" applyBorder="1"/>
    <xf numFmtId="0" fontId="7" fillId="0" borderId="0" xfId="0" applyFont="1"/>
    <xf numFmtId="0" fontId="6" fillId="0" borderId="0" xfId="0" applyFont="1"/>
    <xf numFmtId="171" fontId="0" fillId="0" borderId="0" xfId="0" applyNumberFormat="1"/>
    <xf numFmtId="173" fontId="0" fillId="0" borderId="0" xfId="1" applyNumberFormat="1" applyFont="1"/>
    <xf numFmtId="172" fontId="3" fillId="0" borderId="0" xfId="0" applyNumberFormat="1" applyFont="1" applyAlignment="1">
      <alignment horizontal="center"/>
    </xf>
    <xf numFmtId="2" fontId="4" fillId="3" borderId="0" xfId="3" applyNumberFormat="1" applyAlignment="1">
      <alignment horizontal="center"/>
    </xf>
    <xf numFmtId="2" fontId="5" fillId="4" borderId="0" xfId="4" applyNumberFormat="1" applyAlignment="1">
      <alignment horizontal="center"/>
    </xf>
    <xf numFmtId="2" fontId="7" fillId="0" borderId="0" xfId="0" applyNumberFormat="1" applyFont="1"/>
    <xf numFmtId="1" fontId="7" fillId="0" borderId="0" xfId="0" applyNumberFormat="1" applyFont="1"/>
    <xf numFmtId="1" fontId="10" fillId="0" borderId="0" xfId="0" applyNumberFormat="1" applyFont="1" applyAlignment="1">
      <alignment horizontal="center"/>
    </xf>
    <xf numFmtId="3" fontId="7" fillId="0" borderId="0" xfId="0" applyNumberFormat="1" applyFont="1"/>
    <xf numFmtId="172" fontId="7" fillId="0" borderId="0" xfId="2" applyNumberFormat="1" applyFont="1"/>
    <xf numFmtId="0" fontId="10" fillId="0" borderId="0" xfId="0" applyFont="1" applyAlignment="1">
      <alignment horizontal="center"/>
    </xf>
    <xf numFmtId="175" fontId="7" fillId="0" borderId="0" xfId="1" applyNumberFormat="1" applyFont="1"/>
    <xf numFmtId="174" fontId="7" fillId="0" borderId="0" xfId="1" applyNumberFormat="1" applyFont="1"/>
    <xf numFmtId="8" fontId="7" fillId="0" borderId="0" xfId="0" applyNumberFormat="1" applyFont="1"/>
    <xf numFmtId="176" fontId="7" fillId="0" borderId="0" xfId="0" applyNumberFormat="1" applyFont="1"/>
    <xf numFmtId="0" fontId="7" fillId="0" borderId="0" xfId="0" applyFont="1" applyAlignment="1">
      <alignment horizontal="left"/>
    </xf>
    <xf numFmtId="0" fontId="10" fillId="0" borderId="0" xfId="0" applyFont="1"/>
    <xf numFmtId="3" fontId="10" fillId="5" borderId="0" xfId="0" applyNumberFormat="1" applyFont="1" applyFill="1" applyAlignment="1">
      <alignment horizontal="center"/>
    </xf>
    <xf numFmtId="172" fontId="10" fillId="5" borderId="0" xfId="1" applyNumberFormat="1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" fontId="10" fillId="5" borderId="0" xfId="0" applyNumberFormat="1" applyFont="1" applyFill="1" applyAlignment="1">
      <alignment horizontal="center"/>
    </xf>
    <xf numFmtId="175" fontId="10" fillId="5" borderId="0" xfId="1" applyNumberFormat="1" applyFont="1" applyFill="1" applyAlignment="1">
      <alignment horizontal="center"/>
    </xf>
    <xf numFmtId="177" fontId="10" fillId="5" borderId="0" xfId="0" applyNumberFormat="1" applyFont="1" applyFill="1" applyAlignment="1">
      <alignment horizontal="center"/>
    </xf>
    <xf numFmtId="6" fontId="10" fillId="5" borderId="0" xfId="0" applyNumberFormat="1" applyFont="1" applyFill="1" applyAlignment="1">
      <alignment horizontal="center"/>
    </xf>
    <xf numFmtId="176" fontId="1" fillId="5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center"/>
    </xf>
    <xf numFmtId="171" fontId="10" fillId="5" borderId="0" xfId="0" applyNumberFormat="1" applyFont="1" applyFill="1" applyAlignment="1">
      <alignment horizontal="center"/>
    </xf>
    <xf numFmtId="0" fontId="12" fillId="0" borderId="0" xfId="5" applyFont="1" applyAlignment="1">
      <alignment horizontal="center"/>
    </xf>
    <xf numFmtId="178" fontId="0" fillId="0" borderId="0" xfId="0" applyNumberFormat="1"/>
    <xf numFmtId="0" fontId="7" fillId="2" borderId="2" xfId="0" applyFont="1" applyFill="1" applyBorder="1"/>
    <xf numFmtId="0" fontId="10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6">
    <cellStyle name="Comma" xfId="1" builtinId="3"/>
    <cellStyle name="Good" xfId="3" builtinId="26"/>
    <cellStyle name="Hyperlink" xfId="5" builtinId="8"/>
    <cellStyle name="Neutral" xfId="4" builtinId="28"/>
    <cellStyle name="Normal" xfId="0" builtinId="0"/>
    <cellStyle name="Percent" xfId="2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stebanconde09@outlook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0F0A-9D3E-134C-9611-35CDF5FC889C}">
  <dimension ref="A1:D37"/>
  <sheetViews>
    <sheetView zoomScale="150" zoomScaleNormal="150" workbookViewId="0">
      <selection activeCell="B17" sqref="B17"/>
    </sheetView>
  </sheetViews>
  <sheetFormatPr baseColWidth="10" defaultRowHeight="16" x14ac:dyDescent="0.2"/>
  <cols>
    <col min="1" max="1" width="61.6640625" bestFit="1" customWidth="1"/>
    <col min="2" max="2" width="11.6640625" bestFit="1" customWidth="1"/>
    <col min="3" max="3" width="37.5" bestFit="1" customWidth="1"/>
  </cols>
  <sheetData>
    <row r="1" spans="1:4" x14ac:dyDescent="0.2">
      <c r="A1" s="62" t="s">
        <v>115</v>
      </c>
      <c r="B1" s="62"/>
      <c r="C1" s="62"/>
    </row>
    <row r="2" spans="1:4" x14ac:dyDescent="0.2">
      <c r="A2" s="42"/>
      <c r="B2" s="42"/>
      <c r="C2" s="42"/>
    </row>
    <row r="3" spans="1:4" x14ac:dyDescent="0.2">
      <c r="A3" s="62" t="s">
        <v>116</v>
      </c>
      <c r="B3" s="62"/>
      <c r="C3" s="62"/>
    </row>
    <row r="4" spans="1:4" x14ac:dyDescent="0.2">
      <c r="A4" s="42" t="s">
        <v>117</v>
      </c>
      <c r="B4" s="49">
        <f>'Virtual Warehouse'!G2</f>
        <v>11700</v>
      </c>
      <c r="C4" s="2"/>
    </row>
    <row r="5" spans="1:4" x14ac:dyDescent="0.2">
      <c r="A5" s="42" t="s">
        <v>118</v>
      </c>
      <c r="B5" s="49">
        <f>'KPI Dashboard'!B4</f>
        <v>10380</v>
      </c>
      <c r="C5" s="2"/>
    </row>
    <row r="6" spans="1:4" x14ac:dyDescent="0.2">
      <c r="A6" s="42" t="s">
        <v>119</v>
      </c>
      <c r="B6" s="50">
        <f>'KPI Dashboard'!B5</f>
        <v>0.11282051282051282</v>
      </c>
      <c r="C6" s="42" t="s">
        <v>120</v>
      </c>
    </row>
    <row r="7" spans="1:4" x14ac:dyDescent="0.2">
      <c r="A7" s="42" t="s">
        <v>121</v>
      </c>
      <c r="B7" s="51">
        <f>'KPI Dashboard'!F3</f>
        <v>400</v>
      </c>
      <c r="C7" s="2"/>
    </row>
    <row r="8" spans="1:4" x14ac:dyDescent="0.2">
      <c r="A8" s="42" t="s">
        <v>122</v>
      </c>
      <c r="B8" s="51">
        <f>'KPI Dashboard'!F4</f>
        <v>380</v>
      </c>
      <c r="C8" s="2"/>
    </row>
    <row r="9" spans="1:4" x14ac:dyDescent="0.2">
      <c r="A9" s="42" t="s">
        <v>123</v>
      </c>
      <c r="B9" s="51">
        <f>'KPI Dashboard'!B8</f>
        <v>780</v>
      </c>
      <c r="C9" s="2"/>
    </row>
    <row r="10" spans="1:4" x14ac:dyDescent="0.2">
      <c r="A10" s="42" t="s">
        <v>124</v>
      </c>
      <c r="B10" s="52">
        <f>'KPI Dashboard'!B9</f>
        <v>4</v>
      </c>
      <c r="C10" s="42" t="s">
        <v>125</v>
      </c>
    </row>
    <row r="11" spans="1:4" x14ac:dyDescent="0.2">
      <c r="A11" s="42" t="s">
        <v>126</v>
      </c>
      <c r="B11" s="63" t="str">
        <f>'KPI Dashboard'!B28</f>
        <v>CRUSHING - Scale up time 🔥</v>
      </c>
      <c r="C11" s="63"/>
      <c r="D11" s="30"/>
    </row>
    <row r="13" spans="1:4" x14ac:dyDescent="0.2">
      <c r="A13" s="42" t="s">
        <v>127</v>
      </c>
    </row>
    <row r="14" spans="1:4" x14ac:dyDescent="0.2">
      <c r="A14" s="42" t="s">
        <v>128</v>
      </c>
      <c r="B14" s="53">
        <f>'CFS CES'!B15</f>
        <v>122434.78260869566</v>
      </c>
    </row>
    <row r="15" spans="1:4" x14ac:dyDescent="0.2">
      <c r="A15" s="42" t="s">
        <v>129</v>
      </c>
      <c r="B15" s="54">
        <f>'CFS CES'!B16</f>
        <v>3.5266666666666661E-2</v>
      </c>
    </row>
    <row r="16" spans="1:4" x14ac:dyDescent="0.2">
      <c r="A16" s="42" t="s">
        <v>133</v>
      </c>
      <c r="B16" s="55">
        <f>'CFS CES'!B30</f>
        <v>3173.9999999999995</v>
      </c>
    </row>
    <row r="17" spans="1:3" x14ac:dyDescent="0.2">
      <c r="A17" s="42" t="s">
        <v>130</v>
      </c>
      <c r="B17" s="51">
        <f>'CFS CES'!B24</f>
        <v>2</v>
      </c>
    </row>
    <row r="18" spans="1:3" x14ac:dyDescent="0.2">
      <c r="A18" s="42" t="s">
        <v>131</v>
      </c>
      <c r="B18" s="56">
        <f>'KPI Dashboard'!B18</f>
        <v>18000</v>
      </c>
    </row>
    <row r="20" spans="1:3" x14ac:dyDescent="0.2">
      <c r="A20" s="42" t="s">
        <v>132</v>
      </c>
    </row>
    <row r="21" spans="1:3" x14ac:dyDescent="0.2">
      <c r="A21" s="48" t="s">
        <v>134</v>
      </c>
      <c r="B21" s="57">
        <f>'Outbond loading'!B16</f>
        <v>20</v>
      </c>
      <c r="C21" s="2" t="s">
        <v>135</v>
      </c>
    </row>
    <row r="22" spans="1:3" x14ac:dyDescent="0.2">
      <c r="A22" s="48" t="s">
        <v>136</v>
      </c>
      <c r="B22" s="58">
        <f>'Outbond loading'!B18</f>
        <v>42.5</v>
      </c>
      <c r="C22" s="2"/>
    </row>
    <row r="23" spans="1:3" x14ac:dyDescent="0.2">
      <c r="A23" s="48" t="s">
        <v>137</v>
      </c>
      <c r="B23" s="52">
        <f>'Outbond loading'!B19</f>
        <v>765</v>
      </c>
      <c r="C23" s="2"/>
    </row>
    <row r="25" spans="1:3" x14ac:dyDescent="0.2">
      <c r="A25" s="42" t="s">
        <v>138</v>
      </c>
    </row>
    <row r="26" spans="1:3" x14ac:dyDescent="0.2">
      <c r="A26" s="42" t="s">
        <v>139</v>
      </c>
    </row>
    <row r="27" spans="1:3" x14ac:dyDescent="0.2">
      <c r="A27" s="42" t="s">
        <v>140</v>
      </c>
    </row>
    <row r="28" spans="1:3" x14ac:dyDescent="0.2">
      <c r="A28" s="42" t="s">
        <v>141</v>
      </c>
    </row>
    <row r="29" spans="1:3" x14ac:dyDescent="0.2">
      <c r="A29" s="42" t="s">
        <v>142</v>
      </c>
    </row>
    <row r="30" spans="1:3" x14ac:dyDescent="0.2">
      <c r="A30" s="42" t="s">
        <v>143</v>
      </c>
    </row>
    <row r="34" spans="1:1" x14ac:dyDescent="0.2">
      <c r="A34" s="2" t="s">
        <v>147</v>
      </c>
    </row>
    <row r="35" spans="1:1" x14ac:dyDescent="0.2">
      <c r="A35" s="2" t="s">
        <v>145</v>
      </c>
    </row>
    <row r="36" spans="1:1" x14ac:dyDescent="0.2">
      <c r="A36" s="2" t="s">
        <v>144</v>
      </c>
    </row>
    <row r="37" spans="1:1" x14ac:dyDescent="0.2">
      <c r="A37" s="59" t="s">
        <v>146</v>
      </c>
    </row>
  </sheetData>
  <mergeCells count="3">
    <mergeCell ref="A1:C1"/>
    <mergeCell ref="A3:C3"/>
    <mergeCell ref="B11:C11"/>
  </mergeCells>
  <conditionalFormatting sqref="A2">
    <cfRule type="colorScale" priority="3">
      <colorScale>
        <cfvo type="min"/>
        <cfvo type="max"/>
        <color rgb="FFFF7128"/>
        <color rgb="FFFFEF9C"/>
      </colorScale>
    </cfRule>
  </conditionalFormatting>
  <conditionalFormatting sqref="B4:B10 B11:C11 B14:B18 B21:B23">
    <cfRule type="colorScale" priority="2">
      <colorScale>
        <cfvo type="num" val="0"/>
        <cfvo type="num" val="0"/>
        <color rgb="FF92D050"/>
        <color rgb="FF92D050"/>
      </colorScale>
    </cfRule>
  </conditionalFormatting>
  <conditionalFormatting sqref="B11:C11">
    <cfRule type="containsText" dxfId="27" priority="1" operator="containsText" text="occupancy risk">
      <formula>NOT(ISERROR(SEARCH("occupancy risk",B11)))</formula>
    </cfRule>
    <cfRule type="colorScale" priority="4">
      <colorScale>
        <cfvo type="num" val="0"/>
        <cfvo type="num" val="0"/>
        <color rgb="FF92D050"/>
        <color rgb="FF92D050"/>
      </colorScale>
    </cfRule>
  </conditionalFormatting>
  <hyperlinks>
    <hyperlink ref="A37" r:id="rId1" xr:uid="{AB2B4A43-6F42-8B4D-9E83-0FB3642A44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91D8-541E-BE4F-B5AD-1A12B54C6261}">
  <dimension ref="A1:F35"/>
  <sheetViews>
    <sheetView tabSelected="1" zoomScale="190" zoomScaleNormal="190" workbookViewId="0">
      <selection activeCell="C2" sqref="C2"/>
    </sheetView>
  </sheetViews>
  <sheetFormatPr baseColWidth="10" defaultColWidth="11" defaultRowHeight="16" x14ac:dyDescent="0.2"/>
  <cols>
    <col min="1" max="1" width="32" bestFit="1" customWidth="1"/>
    <col min="2" max="2" width="12" customWidth="1"/>
    <col min="3" max="3" width="11.1640625" customWidth="1"/>
    <col min="5" max="5" width="19.83203125" customWidth="1"/>
  </cols>
  <sheetData>
    <row r="1" spans="1:6" x14ac:dyDescent="0.2">
      <c r="A1" s="1" t="s">
        <v>13</v>
      </c>
      <c r="E1" t="s">
        <v>14</v>
      </c>
    </row>
    <row r="2" spans="1:6" x14ac:dyDescent="0.2">
      <c r="A2" s="3" t="s">
        <v>3</v>
      </c>
      <c r="B2" s="9">
        <v>90000</v>
      </c>
      <c r="C2" s="5" t="s">
        <v>9</v>
      </c>
      <c r="E2" t="s">
        <v>16</v>
      </c>
      <c r="F2" s="6">
        <f>(B2*0.08)</f>
        <v>7200</v>
      </c>
    </row>
    <row r="3" spans="1:6" x14ac:dyDescent="0.2">
      <c r="A3" s="3" t="s">
        <v>2</v>
      </c>
      <c r="B3" s="3">
        <v>4</v>
      </c>
      <c r="C3" s="2"/>
      <c r="E3" t="s">
        <v>15</v>
      </c>
      <c r="F3" s="6">
        <f>B2*0.12</f>
        <v>10800</v>
      </c>
    </row>
    <row r="4" spans="1:6" x14ac:dyDescent="0.2">
      <c r="A4" s="3" t="s">
        <v>47</v>
      </c>
      <c r="B4" s="3">
        <v>8</v>
      </c>
      <c r="E4" t="s">
        <v>0</v>
      </c>
    </row>
    <row r="5" spans="1:6" x14ac:dyDescent="0.2">
      <c r="A5" s="3" t="s">
        <v>1</v>
      </c>
      <c r="B5" s="4">
        <v>0.15</v>
      </c>
    </row>
    <row r="7" spans="1:6" x14ac:dyDescent="0.2">
      <c r="A7" t="s">
        <v>10</v>
      </c>
      <c r="B7" s="9">
        <f>B2*B3</f>
        <v>360000</v>
      </c>
    </row>
    <row r="8" spans="1:6" x14ac:dyDescent="0.2">
      <c r="A8" t="s">
        <v>11</v>
      </c>
      <c r="B8" s="9">
        <f>B7/60</f>
        <v>6000</v>
      </c>
      <c r="C8" t="s">
        <v>0</v>
      </c>
    </row>
    <row r="9" spans="1:6" x14ac:dyDescent="0.2">
      <c r="A9" t="s">
        <v>4</v>
      </c>
      <c r="B9" s="9">
        <f>B8/60</f>
        <v>100</v>
      </c>
    </row>
    <row r="10" spans="1:6" x14ac:dyDescent="0.2">
      <c r="A10" t="s">
        <v>7</v>
      </c>
      <c r="B10" s="9">
        <f>B8*(1+B5)</f>
        <v>6899.9999999999991</v>
      </c>
    </row>
    <row r="11" spans="1:6" x14ac:dyDescent="0.2">
      <c r="A11" t="s">
        <v>5</v>
      </c>
      <c r="B11" s="9">
        <f>B10/B4</f>
        <v>862.49999999999989</v>
      </c>
    </row>
    <row r="12" spans="1:6" x14ac:dyDescent="0.2">
      <c r="B12" t="s">
        <v>48</v>
      </c>
      <c r="C12" t="s">
        <v>6</v>
      </c>
    </row>
    <row r="13" spans="1:6" x14ac:dyDescent="0.2">
      <c r="A13" t="s">
        <v>8</v>
      </c>
      <c r="B13" s="9">
        <f>(B2*B3/60)*(1+B5)/B4</f>
        <v>862.49999999999989</v>
      </c>
      <c r="C13" s="10">
        <f>B13/60</f>
        <v>14.374999999999998</v>
      </c>
    </row>
    <row r="14" spans="1:6" x14ac:dyDescent="0.2">
      <c r="A14" t="s">
        <v>46</v>
      </c>
      <c r="B14" s="10">
        <f>8-(40/60)</f>
        <v>7.333333333333333</v>
      </c>
    </row>
    <row r="15" spans="1:6" x14ac:dyDescent="0.2">
      <c r="A15" t="s">
        <v>12</v>
      </c>
      <c r="B15" s="13">
        <f>(B14*B4*3600)/(1+$B$5)/1.5</f>
        <v>122434.78260869566</v>
      </c>
      <c r="C15" t="s">
        <v>9</v>
      </c>
      <c r="D15" t="s">
        <v>0</v>
      </c>
    </row>
    <row r="16" spans="1:6" x14ac:dyDescent="0.2">
      <c r="A16" t="s">
        <v>17</v>
      </c>
      <c r="B16" s="60">
        <f>+(B30/B2)</f>
        <v>3.5266666666666661E-2</v>
      </c>
      <c r="D16" t="s">
        <v>0</v>
      </c>
    </row>
    <row r="17" spans="1:4" x14ac:dyDescent="0.2">
      <c r="A17" s="29" t="s">
        <v>57</v>
      </c>
    </row>
    <row r="18" spans="1:4" x14ac:dyDescent="0.2">
      <c r="A18" t="s">
        <v>51</v>
      </c>
      <c r="B18" s="26">
        <v>150</v>
      </c>
    </row>
    <row r="19" spans="1:4" x14ac:dyDescent="0.2">
      <c r="A19" t="s">
        <v>52</v>
      </c>
      <c r="B19" s="26">
        <f>B2/B18</f>
        <v>600</v>
      </c>
    </row>
    <row r="20" spans="1:4" x14ac:dyDescent="0.2">
      <c r="A20" t="s">
        <v>53</v>
      </c>
      <c r="B20" s="26">
        <f>B19</f>
        <v>600</v>
      </c>
    </row>
    <row r="21" spans="1:4" x14ac:dyDescent="0.2">
      <c r="A21" t="s">
        <v>54</v>
      </c>
      <c r="B21" s="27">
        <f>'Virtual Warehouse'!B17</f>
        <v>36</v>
      </c>
    </row>
    <row r="22" spans="1:4" x14ac:dyDescent="0.2">
      <c r="A22" t="s">
        <v>55</v>
      </c>
      <c r="B22" s="28">
        <f>B20/B21</f>
        <v>16.666666666666668</v>
      </c>
    </row>
    <row r="23" spans="1:4" x14ac:dyDescent="0.2">
      <c r="A23" t="s">
        <v>56</v>
      </c>
      <c r="B23" s="26">
        <f>C13</f>
        <v>14.374999999999998</v>
      </c>
    </row>
    <row r="24" spans="1:4" x14ac:dyDescent="0.2">
      <c r="A24" t="s">
        <v>50</v>
      </c>
      <c r="B24" s="26">
        <f>CEILING(B22/B23,2)</f>
        <v>2</v>
      </c>
    </row>
    <row r="25" spans="1:4" x14ac:dyDescent="0.2">
      <c r="B25" s="8"/>
    </row>
    <row r="26" spans="1:4" x14ac:dyDescent="0.2">
      <c r="A26" t="s">
        <v>0</v>
      </c>
    </row>
    <row r="27" spans="1:4" x14ac:dyDescent="0.2">
      <c r="A27" t="s">
        <v>20</v>
      </c>
      <c r="B27" s="11">
        <v>23</v>
      </c>
      <c r="D27" t="s">
        <v>0</v>
      </c>
    </row>
    <row r="28" spans="1:4" x14ac:dyDescent="0.2">
      <c r="A28" t="s">
        <v>21</v>
      </c>
      <c r="B28" s="11">
        <f>+B27*1.2</f>
        <v>27.599999999999998</v>
      </c>
      <c r="D28" t="s">
        <v>0</v>
      </c>
    </row>
    <row r="29" spans="1:4" x14ac:dyDescent="0.2">
      <c r="A29" t="s">
        <v>18</v>
      </c>
      <c r="B29" s="10">
        <f>+C13*B4</f>
        <v>114.99999999999999</v>
      </c>
      <c r="D29" t="s">
        <v>0</v>
      </c>
    </row>
    <row r="30" spans="1:4" x14ac:dyDescent="0.2">
      <c r="A30" t="s">
        <v>19</v>
      </c>
      <c r="B30" s="12">
        <f>+B29*B28</f>
        <v>3173.9999999999995</v>
      </c>
      <c r="D30" t="s">
        <v>0</v>
      </c>
    </row>
    <row r="31" spans="1:4" x14ac:dyDescent="0.2">
      <c r="B31" s="7"/>
      <c r="D31" t="s">
        <v>0</v>
      </c>
    </row>
    <row r="35" spans="1:1" x14ac:dyDescent="0.2">
      <c r="A35" t="s">
        <v>0</v>
      </c>
    </row>
  </sheetData>
  <conditionalFormatting sqref="I17:I24 I1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{C099A266-4BCC-6A4E-BFA3-7181A1333454}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99A266-4BCC-6A4E-BFA3-7181A13334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I17:I24 I15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E2E90-16F2-DA4F-923E-EB4ACB14B899}">
  <dimension ref="A1:G37"/>
  <sheetViews>
    <sheetView topLeftCell="A2" zoomScale="130" zoomScaleNormal="130" workbookViewId="0">
      <selection activeCell="D2" sqref="D2"/>
    </sheetView>
  </sheetViews>
  <sheetFormatPr baseColWidth="10" defaultRowHeight="16" x14ac:dyDescent="0.2"/>
  <cols>
    <col min="1" max="1" width="31.33203125" customWidth="1"/>
    <col min="2" max="2" width="17.5" customWidth="1"/>
    <col min="3" max="3" width="19" bestFit="1" customWidth="1"/>
    <col min="4" max="4" width="12.1640625" customWidth="1"/>
    <col min="5" max="5" width="15" bestFit="1" customWidth="1"/>
    <col min="7" max="7" width="20.1640625" customWidth="1"/>
  </cols>
  <sheetData>
    <row r="1" spans="1:7" x14ac:dyDescent="0.2">
      <c r="A1" s="23" t="s">
        <v>42</v>
      </c>
      <c r="B1" s="23" t="s">
        <v>22</v>
      </c>
      <c r="C1" s="23" t="s">
        <v>23</v>
      </c>
      <c r="D1" s="23" t="s">
        <v>24</v>
      </c>
      <c r="E1" s="23" t="s">
        <v>25</v>
      </c>
      <c r="F1" s="23" t="s">
        <v>26</v>
      </c>
      <c r="G1" s="23" t="s">
        <v>27</v>
      </c>
    </row>
    <row r="2" spans="1:7" x14ac:dyDescent="0.2">
      <c r="A2" s="14">
        <v>600</v>
      </c>
      <c r="B2" s="14">
        <v>200</v>
      </c>
      <c r="C2" s="18">
        <v>0.65</v>
      </c>
      <c r="D2" s="17">
        <f>(A2*B2*C2)</f>
        <v>78000</v>
      </c>
      <c r="E2" s="20">
        <f>(48/12) * (40/12)</f>
        <v>13.333333333333334</v>
      </c>
      <c r="F2" s="14">
        <v>2</v>
      </c>
      <c r="G2" s="17">
        <f>(A2*B2*C2)/E2*F2</f>
        <v>11700</v>
      </c>
    </row>
    <row r="3" spans="1:7" x14ac:dyDescent="0.2">
      <c r="A3" s="16" t="s">
        <v>0</v>
      </c>
      <c r="B3" t="s">
        <v>0</v>
      </c>
    </row>
    <row r="4" spans="1:7" x14ac:dyDescent="0.2">
      <c r="A4" s="16" t="s">
        <v>0</v>
      </c>
      <c r="B4" s="4" t="s">
        <v>0</v>
      </c>
    </row>
    <row r="5" spans="1:7" x14ac:dyDescent="0.2">
      <c r="A5" s="16" t="s">
        <v>0</v>
      </c>
      <c r="B5" s="15" t="s">
        <v>0</v>
      </c>
      <c r="D5" t="s">
        <v>0</v>
      </c>
    </row>
    <row r="6" spans="1:7" x14ac:dyDescent="0.2">
      <c r="A6" s="16" t="s">
        <v>0</v>
      </c>
      <c r="B6" t="s">
        <v>0</v>
      </c>
    </row>
    <row r="7" spans="1:7" x14ac:dyDescent="0.2">
      <c r="A7" s="16" t="s">
        <v>0</v>
      </c>
      <c r="B7" t="s">
        <v>0</v>
      </c>
    </row>
    <row r="8" spans="1:7" x14ac:dyDescent="0.2">
      <c r="A8" s="16" t="s">
        <v>0</v>
      </c>
    </row>
    <row r="9" spans="1:7" x14ac:dyDescent="0.2">
      <c r="A9" s="14" t="s">
        <v>28</v>
      </c>
      <c r="B9" s="34">
        <f>B10 / G2</f>
        <v>0.11282051282051282</v>
      </c>
      <c r="C9" t="s">
        <v>0</v>
      </c>
    </row>
    <row r="10" spans="1:7" x14ac:dyDescent="0.2">
      <c r="A10" s="14" t="s">
        <v>29</v>
      </c>
      <c r="B10" s="14">
        <f>B19 * B35 * 1.1</f>
        <v>1320</v>
      </c>
    </row>
    <row r="11" spans="1:7" x14ac:dyDescent="0.2">
      <c r="A11" s="14" t="s">
        <v>45</v>
      </c>
      <c r="B11" s="17">
        <f>G2-B10</f>
        <v>10380</v>
      </c>
    </row>
    <row r="12" spans="1:7" x14ac:dyDescent="0.2">
      <c r="A12" s="14" t="s">
        <v>43</v>
      </c>
      <c r="B12" s="39">
        <f>B37 * 8 * 0.975</f>
        <v>252.71999999999997</v>
      </c>
    </row>
    <row r="13" spans="1:7" x14ac:dyDescent="0.2">
      <c r="A13" s="23" t="s">
        <v>32</v>
      </c>
    </row>
    <row r="14" spans="1:7" x14ac:dyDescent="0.2">
      <c r="A14" s="14" t="s">
        <v>45</v>
      </c>
      <c r="B14" s="17">
        <f>G2-B10</f>
        <v>10380</v>
      </c>
    </row>
    <row r="15" spans="1:7" x14ac:dyDescent="0.2">
      <c r="A15" s="23" t="s">
        <v>33</v>
      </c>
      <c r="B15" s="14"/>
    </row>
    <row r="16" spans="1:7" x14ac:dyDescent="0.2">
      <c r="A16" s="14" t="s">
        <v>30</v>
      </c>
      <c r="B16" s="14">
        <v>40</v>
      </c>
    </row>
    <row r="17" spans="1:4" x14ac:dyDescent="0.2">
      <c r="A17" s="14" t="s">
        <v>31</v>
      </c>
      <c r="B17" s="14">
        <f>B16*D17</f>
        <v>36</v>
      </c>
      <c r="C17" t="s">
        <v>44</v>
      </c>
      <c r="D17" s="36">
        <v>0.9</v>
      </c>
    </row>
    <row r="18" spans="1:4" x14ac:dyDescent="0.2">
      <c r="A18" s="23" t="s">
        <v>34</v>
      </c>
      <c r="B18" s="14"/>
      <c r="D18" s="14"/>
    </row>
    <row r="19" spans="1:4" x14ac:dyDescent="0.2">
      <c r="A19" s="14" t="s">
        <v>35</v>
      </c>
      <c r="B19" s="42">
        <f>'KPI Dashboard'!F3</f>
        <v>400</v>
      </c>
    </row>
    <row r="20" spans="1:4" x14ac:dyDescent="0.2">
      <c r="A20" s="14" t="s">
        <v>36</v>
      </c>
      <c r="B20" s="42">
        <f>'KPI Dashboard'!F4</f>
        <v>380</v>
      </c>
    </row>
    <row r="21" spans="1:4" x14ac:dyDescent="0.2">
      <c r="A21" s="14" t="s">
        <v>37</v>
      </c>
      <c r="B21" s="14">
        <f>B19+B20</f>
        <v>780</v>
      </c>
    </row>
    <row r="22" spans="1:4" x14ac:dyDescent="0.2">
      <c r="A22" s="14" t="s">
        <v>38</v>
      </c>
      <c r="B22" s="25">
        <f>B21/B17</f>
        <v>21.666666666666668</v>
      </c>
    </row>
    <row r="23" spans="1:4" x14ac:dyDescent="0.2">
      <c r="A23" s="14" t="s">
        <v>39</v>
      </c>
      <c r="B23" s="22">
        <f>CEILING((B21 / (B37 * 8 * 0.795)), 1)</f>
        <v>4</v>
      </c>
    </row>
    <row r="24" spans="1:4" x14ac:dyDescent="0.2">
      <c r="A24" s="23" t="s">
        <v>40</v>
      </c>
    </row>
    <row r="25" spans="1:4" x14ac:dyDescent="0.2">
      <c r="A25" s="14" t="s">
        <v>41</v>
      </c>
      <c r="B25" s="1" t="s">
        <v>80</v>
      </c>
    </row>
    <row r="26" spans="1:4" x14ac:dyDescent="0.2">
      <c r="A26" s="19">
        <v>0</v>
      </c>
      <c r="B26" s="35">
        <v>1</v>
      </c>
      <c r="C26" t="s">
        <v>148</v>
      </c>
    </row>
    <row r="27" spans="1:4" x14ac:dyDescent="0.2">
      <c r="A27" s="19">
        <v>0.6</v>
      </c>
      <c r="B27" s="19">
        <v>0.97499999999999998</v>
      </c>
      <c r="C27" t="s">
        <v>149</v>
      </c>
    </row>
    <row r="28" spans="1:4" x14ac:dyDescent="0.2">
      <c r="A28" s="19">
        <v>0.8</v>
      </c>
      <c r="B28" s="19">
        <v>0.85</v>
      </c>
      <c r="C28" t="s">
        <v>150</v>
      </c>
    </row>
    <row r="29" spans="1:4" x14ac:dyDescent="0.2">
      <c r="A29" s="19">
        <v>0.85</v>
      </c>
      <c r="B29" s="19">
        <v>0.6</v>
      </c>
      <c r="C29" t="s">
        <v>151</v>
      </c>
    </row>
    <row r="35" spans="1:2" x14ac:dyDescent="0.2">
      <c r="A35" s="2" t="s">
        <v>81</v>
      </c>
      <c r="B35" s="2">
        <v>3</v>
      </c>
    </row>
    <row r="36" spans="1:2" x14ac:dyDescent="0.2">
      <c r="A36" s="2" t="s">
        <v>82</v>
      </c>
      <c r="B36" s="2">
        <v>0.9</v>
      </c>
    </row>
    <row r="37" spans="1:2" x14ac:dyDescent="0.2">
      <c r="A37" s="2" t="s">
        <v>83</v>
      </c>
      <c r="B37" s="2">
        <f>(B36*B17)</f>
        <v>32.4</v>
      </c>
    </row>
  </sheetData>
  <conditionalFormatting sqref="B26">
    <cfRule type="cellIs" dxfId="26" priority="1" operator="greaterThan">
      <formula>$B$26</formula>
    </cfRule>
    <cfRule type="cellIs" dxfId="25" priority="3" operator="greaterThan">
      <formula>"1.oo"</formula>
    </cfRule>
    <cfRule type="cellIs" dxfId="24" priority="4" operator="greaterThan">
      <formula>1</formula>
    </cfRule>
  </conditionalFormatting>
  <conditionalFormatting sqref="B27">
    <cfRule type="cellIs" dxfId="23" priority="6" operator="equal">
      <formula>0.975</formula>
    </cfRule>
    <cfRule type="cellIs" dxfId="22" priority="7" operator="equal">
      <formula>0.98</formula>
    </cfRule>
  </conditionalFormatting>
  <conditionalFormatting sqref="B28">
    <cfRule type="cellIs" dxfId="21" priority="9" operator="equal">
      <formula>0.85</formula>
    </cfRule>
  </conditionalFormatting>
  <conditionalFormatting sqref="B29">
    <cfRule type="cellIs" dxfId="20" priority="10" operator="equal">
      <formula>0.6</formula>
    </cfRule>
  </conditionalFormatting>
  <conditionalFormatting sqref="C26">
    <cfRule type="cellIs" dxfId="19" priority="2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8176-802B-AD4A-83F9-371CBADB290C}">
  <dimension ref="A1:H22"/>
  <sheetViews>
    <sheetView zoomScale="140" zoomScaleNormal="140" workbookViewId="0">
      <selection activeCell="C8" sqref="C8"/>
    </sheetView>
  </sheetViews>
  <sheetFormatPr baseColWidth="10" defaultRowHeight="16" x14ac:dyDescent="0.2"/>
  <cols>
    <col min="1" max="1" width="27.83203125" bestFit="1" customWidth="1"/>
    <col min="2" max="2" width="13.6640625" bestFit="1" customWidth="1"/>
    <col min="3" max="3" width="12" bestFit="1" customWidth="1"/>
    <col min="4" max="4" width="20.1640625" bestFit="1" customWidth="1"/>
    <col min="5" max="5" width="12.83203125" bestFit="1" customWidth="1"/>
    <col min="6" max="6" width="12.5" bestFit="1" customWidth="1"/>
    <col min="7" max="7" width="13.6640625" bestFit="1" customWidth="1"/>
    <col min="8" max="8" width="21.5" bestFit="1" customWidth="1"/>
  </cols>
  <sheetData>
    <row r="1" spans="1:8" x14ac:dyDescent="0.2">
      <c r="A1" s="64" t="s">
        <v>58</v>
      </c>
      <c r="B1" s="64"/>
      <c r="C1" s="64"/>
      <c r="D1" s="64"/>
      <c r="E1" s="64"/>
    </row>
    <row r="3" spans="1:8" x14ac:dyDescent="0.2">
      <c r="A3" s="65" t="s">
        <v>59</v>
      </c>
      <c r="B3" s="65"/>
      <c r="C3" s="65"/>
      <c r="D3" s="65"/>
    </row>
    <row r="4" spans="1:8" x14ac:dyDescent="0.2">
      <c r="A4" t="s">
        <v>49</v>
      </c>
      <c r="B4">
        <f>'Virtual Warehouse'!B17</f>
        <v>36</v>
      </c>
    </row>
    <row r="5" spans="1:8" x14ac:dyDescent="0.2">
      <c r="A5" t="s">
        <v>60</v>
      </c>
      <c r="B5">
        <v>1</v>
      </c>
    </row>
    <row r="6" spans="1:8" x14ac:dyDescent="0.2">
      <c r="A6" t="s">
        <v>78</v>
      </c>
      <c r="B6" s="4">
        <v>0.2</v>
      </c>
    </row>
    <row r="7" spans="1:8" x14ac:dyDescent="0.2">
      <c r="A7" t="s">
        <v>61</v>
      </c>
      <c r="B7">
        <v>8</v>
      </c>
    </row>
    <row r="8" spans="1:8" x14ac:dyDescent="0.2">
      <c r="A8" t="s">
        <v>62</v>
      </c>
      <c r="B8">
        <v>20</v>
      </c>
      <c r="F8" s="31"/>
    </row>
    <row r="9" spans="1:8" x14ac:dyDescent="0.2">
      <c r="A9" t="s">
        <v>0</v>
      </c>
      <c r="B9" t="s">
        <v>0</v>
      </c>
    </row>
    <row r="10" spans="1:8" x14ac:dyDescent="0.2">
      <c r="A10" s="64" t="s">
        <v>63</v>
      </c>
      <c r="B10" s="64"/>
      <c r="C10" s="64"/>
    </row>
    <row r="11" spans="1:8" x14ac:dyDescent="0.2">
      <c r="A11" t="s">
        <v>64</v>
      </c>
      <c r="B11" t="s">
        <v>65</v>
      </c>
      <c r="C11" t="s">
        <v>66</v>
      </c>
      <c r="D11" t="s">
        <v>73</v>
      </c>
      <c r="E11" t="s">
        <v>67</v>
      </c>
      <c r="F11" t="s">
        <v>72</v>
      </c>
      <c r="G11" t="s">
        <v>68</v>
      </c>
      <c r="H11" t="s">
        <v>69</v>
      </c>
    </row>
    <row r="12" spans="1:8" x14ac:dyDescent="0.2">
      <c r="A12" t="s">
        <v>70</v>
      </c>
      <c r="B12">
        <v>12</v>
      </c>
      <c r="C12">
        <f>'CFS CES'!$B$21</f>
        <v>36</v>
      </c>
      <c r="D12" s="33">
        <v>1.8</v>
      </c>
      <c r="E12" s="21">
        <f>(B12 / C12) * 60 / D12</f>
        <v>11.111111111111111</v>
      </c>
      <c r="F12" s="21">
        <f>E12 * (1 + $B$6)</f>
        <v>13.333333333333332</v>
      </c>
      <c r="G12">
        <v>20</v>
      </c>
      <c r="H12" s="12" t="str">
        <f>IF(F12 &gt; G12, "Over Target - Risk", IF(F12 &gt; G12*0.9, "Close - Monitor", "Under/On Target - Good"))</f>
        <v>Under/On Target - Good</v>
      </c>
    </row>
    <row r="13" spans="1:8" x14ac:dyDescent="0.2">
      <c r="A13" t="s">
        <v>71</v>
      </c>
      <c r="B13">
        <v>24</v>
      </c>
      <c r="C13">
        <f>'CFS CES'!$B$21</f>
        <v>36</v>
      </c>
      <c r="D13" s="33">
        <v>1.8</v>
      </c>
      <c r="E13" s="32">
        <f>(B13 / C13) * 60 / D13</f>
        <v>22.222222222222221</v>
      </c>
      <c r="F13" s="21">
        <f>E13 * (1 + $B$6)</f>
        <v>26.666666666666664</v>
      </c>
      <c r="G13">
        <v>35</v>
      </c>
      <c r="H13" s="12" t="str">
        <f>IF(F13 &gt; G13, "Over Target - Risk", IF(F13 &gt; G13*0.9, "Close - Monitor", "Under/On Target - Good"))</f>
        <v>Under/On Target - Good</v>
      </c>
    </row>
    <row r="15" spans="1:8" x14ac:dyDescent="0.2">
      <c r="A15" s="65" t="s">
        <v>74</v>
      </c>
      <c r="B15" s="65"/>
      <c r="C15" s="65"/>
    </row>
    <row r="16" spans="1:8" x14ac:dyDescent="0.2">
      <c r="A16" t="s">
        <v>75</v>
      </c>
      <c r="B16" s="21">
        <f>AVERAGE(F12:F13)</f>
        <v>20</v>
      </c>
      <c r="H16" s="30"/>
    </row>
    <row r="17" spans="1:8" x14ac:dyDescent="0.2">
      <c r="A17" t="s">
        <v>76</v>
      </c>
      <c r="B17" s="24">
        <v>20</v>
      </c>
    </row>
    <row r="18" spans="1:8" x14ac:dyDescent="0.2">
      <c r="A18" t="s">
        <v>77</v>
      </c>
      <c r="B18" s="24">
        <f>B8*(B17)*0.85/B7</f>
        <v>42.5</v>
      </c>
    </row>
    <row r="19" spans="1:8" x14ac:dyDescent="0.2">
      <c r="A19" t="s">
        <v>79</v>
      </c>
      <c r="B19" s="24">
        <f>B18*AVERAGE(B12:B13)</f>
        <v>765</v>
      </c>
    </row>
    <row r="22" spans="1:8" x14ac:dyDescent="0.2">
      <c r="H22" s="4"/>
    </row>
  </sheetData>
  <mergeCells count="4">
    <mergeCell ref="A1:E1"/>
    <mergeCell ref="A3:D3"/>
    <mergeCell ref="A10:C10"/>
    <mergeCell ref="A15:C15"/>
  </mergeCells>
  <conditionalFormatting sqref="H12">
    <cfRule type="containsText" dxfId="18" priority="1" operator="containsText" text="risk">
      <formula>NOT(ISERROR(SEARCH("risk",H12)))</formula>
    </cfRule>
    <cfRule type="containsText" dxfId="17" priority="3" operator="containsText" text="CLOSE">
      <formula>NOT(ISERROR(SEARCH("CLOSE",H12)))</formula>
    </cfRule>
    <cfRule type="cellIs" dxfId="16" priority="8" operator="greaterThan">
      <formula>"GOOD"</formula>
    </cfRule>
    <cfRule type="cellIs" dxfId="15" priority="9" operator="greaterThan">
      <formula>"close"</formula>
    </cfRule>
    <cfRule type="cellIs" dxfId="14" priority="10" operator="equal">
      <formula>"monitor"</formula>
    </cfRule>
  </conditionalFormatting>
  <conditionalFormatting sqref="H12:H13">
    <cfRule type="cellIs" dxfId="13" priority="12" operator="lessThan">
      <formula>"risk"</formula>
    </cfRule>
    <cfRule type="cellIs" dxfId="12" priority="14" operator="greaterThan">
      <formula>"GOOd"</formula>
    </cfRule>
  </conditionalFormatting>
  <conditionalFormatting sqref="H13">
    <cfRule type="containsText" dxfId="11" priority="2" operator="containsText" text="GOOD">
      <formula>NOT(ISERROR(SEARCH("GOOD",H13)))</formula>
    </cfRule>
    <cfRule type="containsText" dxfId="10" priority="4" operator="containsText" text="OVER TARGET">
      <formula>NOT(ISERROR(SEARCH("OVER TARGET",H13)))</formula>
    </cfRule>
    <cfRule type="cellIs" dxfId="9" priority="5" operator="greaterThan">
      <formula>"RISK"</formula>
    </cfRule>
    <cfRule type="cellIs" dxfId="8" priority="7" operator="greaterThan">
      <formula>"CLOSE"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435F-443E-AD4A-BC93-2BB5A61CD72B}">
  <dimension ref="A1:F28"/>
  <sheetViews>
    <sheetView zoomScale="150" zoomScaleNormal="150" workbookViewId="0">
      <selection activeCell="E16" sqref="E16"/>
    </sheetView>
  </sheetViews>
  <sheetFormatPr baseColWidth="10" defaultRowHeight="16" x14ac:dyDescent="0.2"/>
  <cols>
    <col min="1" max="1" width="34.83203125" bestFit="1" customWidth="1"/>
    <col min="2" max="2" width="25.6640625" bestFit="1" customWidth="1"/>
    <col min="3" max="3" width="29.83203125" bestFit="1" customWidth="1"/>
    <col min="5" max="5" width="25.33203125" bestFit="1" customWidth="1"/>
  </cols>
  <sheetData>
    <row r="1" spans="1:6" x14ac:dyDescent="0.2">
      <c r="A1" s="62" t="s">
        <v>92</v>
      </c>
      <c r="B1" s="62"/>
      <c r="E1" s="2" t="s">
        <v>109</v>
      </c>
    </row>
    <row r="2" spans="1:6" x14ac:dyDescent="0.2">
      <c r="A2" s="30" t="s">
        <v>84</v>
      </c>
      <c r="B2" s="40">
        <f>'Virtual Warehouse'!G2</f>
        <v>11700</v>
      </c>
      <c r="E2" s="30" t="s">
        <v>110</v>
      </c>
      <c r="F2">
        <v>5</v>
      </c>
    </row>
    <row r="3" spans="1:6" x14ac:dyDescent="0.2">
      <c r="A3" s="30" t="s">
        <v>85</v>
      </c>
      <c r="B3" s="30">
        <f>'Virtual Warehouse'!B10</f>
        <v>1320</v>
      </c>
      <c r="E3" s="61" t="s">
        <v>111</v>
      </c>
      <c r="F3" s="30">
        <v>400</v>
      </c>
    </row>
    <row r="4" spans="1:6" x14ac:dyDescent="0.2">
      <c r="A4" s="30" t="s">
        <v>86</v>
      </c>
      <c r="B4" s="15">
        <f>'Virtual Warehouse'!B11</f>
        <v>10380</v>
      </c>
      <c r="E4" s="61" t="s">
        <v>112</v>
      </c>
      <c r="F4">
        <v>380</v>
      </c>
    </row>
    <row r="5" spans="1:6" x14ac:dyDescent="0.2">
      <c r="A5" s="30" t="s">
        <v>87</v>
      </c>
      <c r="B5" s="41">
        <f>'Virtual Warehouse'!B9</f>
        <v>0.11282051282051282</v>
      </c>
      <c r="C5" t="str">
        <f>IF(B5&gt;F5,"RED - High occupancy","GREEN - Room to grow")</f>
        <v>GREEN - Room to grow</v>
      </c>
      <c r="E5" s="30" t="s">
        <v>113</v>
      </c>
      <c r="F5">
        <v>0.6</v>
      </c>
    </row>
    <row r="6" spans="1:6" x14ac:dyDescent="0.2">
      <c r="A6" s="30" t="s">
        <v>88</v>
      </c>
      <c r="B6" s="30">
        <f>F3</f>
        <v>400</v>
      </c>
    </row>
    <row r="7" spans="1:6" x14ac:dyDescent="0.2">
      <c r="A7" s="30" t="s">
        <v>89</v>
      </c>
      <c r="B7" s="30">
        <f>F4</f>
        <v>380</v>
      </c>
    </row>
    <row r="8" spans="1:6" x14ac:dyDescent="0.2">
      <c r="A8" s="30" t="s">
        <v>90</v>
      </c>
      <c r="B8" s="30">
        <f>B6+B7</f>
        <v>780</v>
      </c>
    </row>
    <row r="9" spans="1:6" x14ac:dyDescent="0.2">
      <c r="A9" s="30" t="s">
        <v>91</v>
      </c>
      <c r="B9" s="38">
        <f>'Virtual Warehouse'!B23</f>
        <v>4</v>
      </c>
      <c r="C9" s="30" t="str">
        <f>IF(B9&lt;=F2,"GREEN - Covered","RED - Bottleneck - Need more lifts")</f>
        <v>GREEN - Covered</v>
      </c>
    </row>
    <row r="10" spans="1:6" x14ac:dyDescent="0.2">
      <c r="A10" s="62" t="s">
        <v>93</v>
      </c>
      <c r="B10" s="62"/>
    </row>
    <row r="11" spans="1:6" x14ac:dyDescent="0.2">
      <c r="A11" s="42"/>
      <c r="B11" s="42"/>
    </row>
    <row r="12" spans="1:6" x14ac:dyDescent="0.2">
      <c r="A12" s="30" t="s">
        <v>94</v>
      </c>
      <c r="B12" s="43">
        <f>'CFS CES'!B2</f>
        <v>90000</v>
      </c>
    </row>
    <row r="13" spans="1:6" x14ac:dyDescent="0.2">
      <c r="A13" s="30" t="s">
        <v>95</v>
      </c>
      <c r="B13" s="43">
        <f>'CFS CES'!B15</f>
        <v>122434.78260869566</v>
      </c>
    </row>
    <row r="14" spans="1:6" x14ac:dyDescent="0.2">
      <c r="A14" s="30" t="s">
        <v>96</v>
      </c>
      <c r="B14" s="44">
        <f>'CFS CES'!B16</f>
        <v>3.5266666666666661E-2</v>
      </c>
    </row>
    <row r="15" spans="1:6" x14ac:dyDescent="0.2">
      <c r="A15" s="30" t="s">
        <v>97</v>
      </c>
      <c r="B15" s="45">
        <f>'CFS CES'!B30</f>
        <v>3173.9999999999995</v>
      </c>
    </row>
    <row r="16" spans="1:6" x14ac:dyDescent="0.2">
      <c r="A16" s="30" t="s">
        <v>98</v>
      </c>
      <c r="B16" s="30">
        <f>'CFS CES'!B24</f>
        <v>2</v>
      </c>
    </row>
    <row r="17" spans="1:3" x14ac:dyDescent="0.2">
      <c r="A17" s="30" t="s">
        <v>99</v>
      </c>
      <c r="B17" s="37">
        <f>'CFS CES'!C13</f>
        <v>14.374999999999998</v>
      </c>
    </row>
    <row r="18" spans="1:3" x14ac:dyDescent="0.2">
      <c r="A18" s="30" t="s">
        <v>100</v>
      </c>
      <c r="B18" s="46">
        <f>'CFS CES'!F2 + 'CFS CES'!F3</f>
        <v>18000</v>
      </c>
    </row>
    <row r="19" spans="1:3" x14ac:dyDescent="0.2">
      <c r="A19" s="62" t="s">
        <v>101</v>
      </c>
      <c r="B19" s="62"/>
    </row>
    <row r="20" spans="1:3" x14ac:dyDescent="0.2">
      <c r="A20" s="47" t="s">
        <v>102</v>
      </c>
      <c r="B20" s="30"/>
    </row>
    <row r="21" spans="1:3" x14ac:dyDescent="0.2">
      <c r="A21" s="30" t="s">
        <v>103</v>
      </c>
      <c r="B21" s="30">
        <f>'Outbond loading'!B4</f>
        <v>36</v>
      </c>
    </row>
    <row r="22" spans="1:3" x14ac:dyDescent="0.2">
      <c r="A22" s="30" t="s">
        <v>104</v>
      </c>
      <c r="B22" s="37">
        <f>'Outbond loading'!B16</f>
        <v>20</v>
      </c>
    </row>
    <row r="23" spans="1:3" x14ac:dyDescent="0.2">
      <c r="A23" s="30" t="s">
        <v>105</v>
      </c>
      <c r="B23" s="37">
        <f>'Outbond loading'!F12</f>
        <v>13.333333333333332</v>
      </c>
      <c r="C23" s="45" t="str">
        <f>'Outbond loading'!H12</f>
        <v>Under/On Target - Good</v>
      </c>
    </row>
    <row r="24" spans="1:3" x14ac:dyDescent="0.2">
      <c r="A24" s="30" t="s">
        <v>106</v>
      </c>
      <c r="B24" s="37">
        <f>'Outbond loading'!F13</f>
        <v>26.666666666666664</v>
      </c>
      <c r="C24" s="45" t="str">
        <f>'Outbond loading'!H13</f>
        <v>Under/On Target - Good</v>
      </c>
    </row>
    <row r="25" spans="1:3" x14ac:dyDescent="0.2">
      <c r="A25" s="30" t="s">
        <v>107</v>
      </c>
      <c r="B25" s="38">
        <f>'Outbond loading'!B18</f>
        <v>42.5</v>
      </c>
    </row>
    <row r="26" spans="1:3" x14ac:dyDescent="0.2">
      <c r="A26" s="30" t="s">
        <v>108</v>
      </c>
      <c r="B26" s="38">
        <f>'Outbond loading'!B19</f>
        <v>765</v>
      </c>
    </row>
    <row r="28" spans="1:3" x14ac:dyDescent="0.2">
      <c r="A28" s="30" t="s">
        <v>114</v>
      </c>
      <c r="B28" s="30" t="str">
        <f>IF(AND(B9&lt;=F2, B5&lt;=F5),"CRUSHING - Scale up time 🔥","CHECK - Forklifts or occupancy risk 😤")</f>
        <v>CRUSHING - Scale up time 🔥</v>
      </c>
    </row>
  </sheetData>
  <mergeCells count="3">
    <mergeCell ref="A1:B1"/>
    <mergeCell ref="A10:B10"/>
    <mergeCell ref="A19:B19"/>
  </mergeCells>
  <conditionalFormatting sqref="C5">
    <cfRule type="containsText" dxfId="7" priority="11" operator="containsText" text="HIGH">
      <formula>NOT(ISERROR(SEARCH("HIGH",C5)))</formula>
    </cfRule>
    <cfRule type="containsText" dxfId="6" priority="12" operator="containsText" text="WATCH">
      <formula>NOT(ISERROR(SEARCH("WATCH",C5)))</formula>
    </cfRule>
    <cfRule type="containsText" dxfId="5" priority="13" operator="containsText" text="GROW">
      <formula>NOT(ISERROR(SEARCH("GROW",C5)))</formula>
    </cfRule>
  </conditionalFormatting>
  <conditionalFormatting sqref="C9">
    <cfRule type="containsText" dxfId="4" priority="1" operator="containsText" text="bottleneck">
      <formula>NOT(ISERROR(SEARCH("bottleneck",C9)))</formula>
    </cfRule>
    <cfRule type="containsText" dxfId="3" priority="2" operator="containsText" text="covered">
      <formula>NOT(ISERROR(SEARCH("covered",C9)))</formula>
    </cfRule>
  </conditionalFormatting>
  <conditionalFormatting sqref="C23:C24">
    <cfRule type="containsText" dxfId="2" priority="3" operator="containsText" text="RISK">
      <formula>NOT(ISERROR(SEARCH("RISK",C23)))</formula>
    </cfRule>
    <cfRule type="containsText" dxfId="1" priority="4" operator="containsText" text="MONITOR">
      <formula>NOT(ISERROR(SEARCH("MONITOR",C23)))</formula>
    </cfRule>
    <cfRule type="containsText" dxfId="0" priority="5" operator="containsText" text="GOOD">
      <formula>NOT(ISERROR(SEARCH("GOOD",C23)))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CFS CES</vt:lpstr>
      <vt:lpstr>Virtual Warehouse</vt:lpstr>
      <vt:lpstr>Outbond loading</vt:lpstr>
      <vt:lpstr>KPI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 Juarez</dc:creator>
  <cp:lastModifiedBy>esteban Conde medrano</cp:lastModifiedBy>
  <dcterms:created xsi:type="dcterms:W3CDTF">2026-01-17T22:51:32Z</dcterms:created>
  <dcterms:modified xsi:type="dcterms:W3CDTF">2026-04-15T01:53:02Z</dcterms:modified>
</cp:coreProperties>
</file>